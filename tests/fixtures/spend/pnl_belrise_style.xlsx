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Expenses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5" fillId="4" borderId="1" pivotButton="0" quotePrefix="0" xfId="0"/>
    <xf numFmtId="164" fontId="5" fillId="4" borderId="1" pivotButton="0" quotePrefix="0" xfId="0"/>
    <xf numFmtId="165" fontId="5" fillId="4" borderId="1" pivotButton="0" quotePrefix="0" xfId="0"/>
    <xf numFmtId="0" fontId="2" fillId="2" borderId="1" pivotButton="0" quotePrefix="0" xfId="0"/>
    <xf numFmtId="164" fontId="2" fillId="2" borderId="1" pivotButton="0" quotePrefix="0" xfId="0"/>
    <xf numFmtId="165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Belrise Industries Limited - Detailed Expenditure Report (FY25 vs FY24)</t>
        </is>
      </c>
    </row>
    <row r="2"/>
    <row r="4">
      <c r="A4" s="2" t="inlineStr">
        <is>
          <t>Category / Classification</t>
        </is>
      </c>
      <c r="B4" s="2" t="inlineStr">
        <is>
          <t>Specific Line Item</t>
        </is>
      </c>
      <c r="C4" s="2" t="inlineStr">
        <is>
          <t>FY25 (₹ Mn)</t>
        </is>
      </c>
      <c r="D4" s="2" t="inlineStr">
        <is>
          <t>FY24 (₹ Mn)</t>
        </is>
      </c>
      <c r="E4" s="2" t="inlineStr">
        <is>
          <t>Variance (₹ Mn)</t>
        </is>
      </c>
      <c r="F4" s="2" t="inlineStr">
        <is>
          <t>Variance (%)</t>
        </is>
      </c>
    </row>
    <row r="5">
      <c r="A5" s="3" t="inlineStr">
        <is>
          <t>Operating Expenses</t>
        </is>
      </c>
      <c r="B5" s="3" t="inlineStr">
        <is>
          <t>I. Cost of Goods Sold (COGS)</t>
        </is>
      </c>
      <c r="C5" s="3" t="n"/>
      <c r="D5" s="3" t="n"/>
      <c r="E5" s="3" t="n"/>
      <c r="F5" s="3" t="n"/>
    </row>
    <row r="6">
      <c r="A6" s="4" t="inlineStr"/>
      <c r="B6" s="4" t="inlineStr">
        <is>
          <t>Raw Materials Consumed</t>
        </is>
      </c>
      <c r="C6" s="5" t="n">
        <v>68500.5</v>
      </c>
      <c r="D6" s="5" t="n">
        <v>62100.2</v>
      </c>
      <c r="E6" s="5">
        <f>C6-D6</f>
        <v/>
      </c>
      <c r="F6" s="6">
        <f>IF(D6=0, 1, E6/ABS(D6))</f>
        <v/>
      </c>
    </row>
    <row r="7">
      <c r="A7" s="4" t="inlineStr"/>
      <c r="B7" s="4" t="inlineStr">
        <is>
          <t>Changes in Inventories</t>
        </is>
      </c>
      <c r="C7" s="5" t="n">
        <v>-1384.5</v>
      </c>
      <c r="D7" s="5" t="n">
        <v>-1846.3</v>
      </c>
      <c r="E7" s="5">
        <f>C7-D7</f>
        <v/>
      </c>
      <c r="F7" s="6">
        <f>IF(D7=0, 1, E7/ABS(D7))</f>
        <v/>
      </c>
    </row>
    <row r="8">
      <c r="A8" s="7" t="inlineStr"/>
      <c r="B8" s="7" t="inlineStr">
        <is>
          <t>COGS Subtotal</t>
        </is>
      </c>
      <c r="C8" s="8">
        <f>SUM(C6:C7)</f>
        <v/>
      </c>
      <c r="D8" s="8">
        <f>SUM(D6:D7)</f>
        <v/>
      </c>
      <c r="E8" s="8">
        <f>C8-D8</f>
        <v/>
      </c>
      <c r="F8" s="9">
        <f>IF(D8=0, 1, E8/ABS(D8))</f>
        <v/>
      </c>
    </row>
    <row r="9">
      <c r="A9" s="3" t="inlineStr">
        <is>
          <t>Operating Expenses</t>
        </is>
      </c>
      <c r="B9" s="3" t="inlineStr">
        <is>
          <t>II. Employee Benefits</t>
        </is>
      </c>
      <c r="C9" s="3" t="n"/>
      <c r="D9" s="3" t="n"/>
      <c r="E9" s="3" t="n"/>
      <c r="F9" s="3" t="n"/>
    </row>
    <row r="10">
      <c r="A10" s="4" t="inlineStr"/>
      <c r="B10" s="4" t="inlineStr">
        <is>
          <t>Salaries, Wages &amp; Bonus</t>
        </is>
      </c>
      <c r="C10" s="5" t="n">
        <v>3105</v>
      </c>
      <c r="D10" s="5" t="n">
        <v>2780.5</v>
      </c>
      <c r="E10" s="5">
        <f>C10-D10</f>
        <v/>
      </c>
      <c r="F10" s="6">
        <f>IF(D10=0, 1, E10/ABS(D10))</f>
        <v/>
      </c>
    </row>
    <row r="11">
      <c r="A11" s="4" t="inlineStr"/>
      <c r="B11" s="4" t="inlineStr">
        <is>
          <t>PF &amp; Gratuity Contributions</t>
        </is>
      </c>
      <c r="C11" s="5" t="n">
        <v>215.5</v>
      </c>
      <c r="D11" s="5" t="n">
        <v>195.2</v>
      </c>
      <c r="E11" s="5">
        <f>C11-D11</f>
        <v/>
      </c>
      <c r="F11" s="6">
        <f>IF(D11=0, 1, E11/ABS(D11))</f>
        <v/>
      </c>
    </row>
    <row r="12">
      <c r="A12" s="4" t="inlineStr"/>
      <c r="B12" s="4" t="inlineStr">
        <is>
          <t>Staff Welfare Expenses</t>
        </is>
      </c>
      <c r="C12" s="5" t="n">
        <v>129.5</v>
      </c>
      <c r="D12" s="5" t="n">
        <v>124.3</v>
      </c>
      <c r="E12" s="5">
        <f>C12-D12</f>
        <v/>
      </c>
      <c r="F12" s="6">
        <f>IF(D12=0, 1, E12/ABS(D12))</f>
        <v/>
      </c>
    </row>
    <row r="13">
      <c r="A13" s="7" t="inlineStr"/>
      <c r="B13" s="7" t="inlineStr">
        <is>
          <t>Employee Subtotal</t>
        </is>
      </c>
      <c r="C13" s="8">
        <f>SUM(C10:C12)</f>
        <v/>
      </c>
      <c r="D13" s="8">
        <f>SUM(D10:D12)</f>
        <v/>
      </c>
      <c r="E13" s="8">
        <f>C13-D13</f>
        <v/>
      </c>
      <c r="F13" s="9">
        <f>IF(D13=0, 1, E13/ABS(D13))</f>
        <v/>
      </c>
    </row>
    <row r="14">
      <c r="A14" s="3" t="inlineStr">
        <is>
          <t>Operating Expenses</t>
        </is>
      </c>
      <c r="B14" s="3" t="inlineStr">
        <is>
          <t>III. Other Administrative &amp; Selling</t>
        </is>
      </c>
      <c r="C14" s="3" t="n"/>
      <c r="D14" s="3" t="n"/>
      <c r="E14" s="3" t="n"/>
      <c r="F14" s="3" t="n"/>
    </row>
    <row r="15">
      <c r="A15" s="4" t="inlineStr"/>
      <c r="B15" s="4" t="inlineStr">
        <is>
          <t>Power &amp; Fuel</t>
        </is>
      </c>
      <c r="C15" s="5" t="n">
        <v>955.4</v>
      </c>
      <c r="D15" s="5" t="n">
        <v>880.6</v>
      </c>
      <c r="E15" s="5">
        <f>C15-D15</f>
        <v/>
      </c>
      <c r="F15" s="6">
        <f>IF(D15=0, 1, E15/ABS(D15))</f>
        <v/>
      </c>
    </row>
    <row r="16">
      <c r="A16" s="4" t="inlineStr"/>
      <c r="B16" s="4" t="inlineStr">
        <is>
          <t>Repairs &amp; Maintenance</t>
        </is>
      </c>
      <c r="C16" s="5" t="n">
        <v>420.2</v>
      </c>
      <c r="D16" s="5" t="n">
        <v>390.1</v>
      </c>
      <c r="E16" s="5">
        <f>C16-D16</f>
        <v/>
      </c>
      <c r="F16" s="6">
        <f>IF(D16=0, 1, E16/ABS(D16))</f>
        <v/>
      </c>
    </row>
    <row r="17">
      <c r="A17" s="4" t="inlineStr"/>
      <c r="B17" s="4" t="inlineStr">
        <is>
          <t>Freight &amp; Forwarding</t>
        </is>
      </c>
      <c r="C17" s="5" t="n">
        <v>310.8</v>
      </c>
      <c r="D17" s="5" t="n">
        <v>280.4</v>
      </c>
      <c r="E17" s="5">
        <f>C17-D17</f>
        <v/>
      </c>
      <c r="F17" s="6">
        <f>IF(D17=0, 1, E17/ABS(D17))</f>
        <v/>
      </c>
    </row>
    <row r="18">
      <c r="A18" s="4" t="inlineStr"/>
      <c r="B18" s="4" t="inlineStr">
        <is>
          <t>Legal &amp; Professional Fees</t>
        </is>
      </c>
      <c r="C18" s="5" t="n">
        <v>185</v>
      </c>
      <c r="D18" s="5" t="n">
        <v>140.5</v>
      </c>
      <c r="E18" s="5">
        <f>C18-D18</f>
        <v/>
      </c>
      <c r="F18" s="6">
        <f>IF(D18=0, 1, E18/ABS(D18))</f>
        <v/>
      </c>
    </row>
    <row r="19">
      <c r="A19" s="4" t="inlineStr"/>
      <c r="B19" s="4" t="inlineStr">
        <is>
          <t>Miscellaneous Expenses</t>
        </is>
      </c>
      <c r="C19" s="5" t="n">
        <v>140.5</v>
      </c>
      <c r="D19" s="5" t="n">
        <v>158.4</v>
      </c>
      <c r="E19" s="5">
        <f>C19-D19</f>
        <v/>
      </c>
      <c r="F19" s="6">
        <f>IF(D19=0, 1, E19/ABS(D19))</f>
        <v/>
      </c>
    </row>
    <row r="20">
      <c r="A20" s="7" t="inlineStr"/>
      <c r="B20" s="7" t="inlineStr">
        <is>
          <t>Other Expenses Subtotal</t>
        </is>
      </c>
      <c r="C20" s="8">
        <f>SUM(C15:C19)</f>
        <v/>
      </c>
      <c r="D20" s="8">
        <f>SUM(D15:D19)</f>
        <v/>
      </c>
      <c r="E20" s="8">
        <f>C20-D20</f>
        <v/>
      </c>
      <c r="F20" s="9">
        <f>IF(D20=0, 1, E20/ABS(D20))</f>
        <v/>
      </c>
    </row>
    <row r="21">
      <c r="A21" s="3" t="inlineStr">
        <is>
          <t>Operating Expenses</t>
        </is>
      </c>
      <c r="B21" s="3" t="inlineStr">
        <is>
          <t>IV. Depreciation &amp; Amortization</t>
        </is>
      </c>
      <c r="C21" s="3" t="n"/>
      <c r="D21" s="3" t="n"/>
      <c r="E21" s="3" t="n"/>
      <c r="F21" s="3" t="n"/>
    </row>
    <row r="22">
      <c r="A22" s="4" t="inlineStr"/>
      <c r="B22" s="4" t="inlineStr">
        <is>
          <t>Depreciation on PP&amp;E</t>
        </is>
      </c>
      <c r="C22" s="5" t="n">
        <v>2510.4</v>
      </c>
      <c r="D22" s="5" t="n">
        <v>2210.3</v>
      </c>
      <c r="E22" s="5">
        <f>C22-D22</f>
        <v/>
      </c>
      <c r="F22" s="6">
        <f>IF(D22=0, 1, E22/ABS(D22))</f>
        <v/>
      </c>
    </row>
    <row r="23">
      <c r="A23" s="4" t="inlineStr"/>
      <c r="B23" s="4" t="inlineStr">
        <is>
          <t>Amortization of Intangibles &amp; RoU</t>
        </is>
      </c>
      <c r="C23" s="5" t="n">
        <v>289.6</v>
      </c>
      <c r="D23" s="5" t="n">
        <v>239.7</v>
      </c>
      <c r="E23" s="5">
        <f>C23-D23</f>
        <v/>
      </c>
      <c r="F23" s="6">
        <f>IF(D23=0, 1, E23/ABS(D23))</f>
        <v/>
      </c>
    </row>
    <row r="24">
      <c r="A24" s="7" t="inlineStr"/>
      <c r="B24" s="7" t="inlineStr">
        <is>
          <t>D&amp;A Subtotal</t>
        </is>
      </c>
      <c r="C24" s="8">
        <f>SUM(C22:C23)</f>
        <v/>
      </c>
      <c r="D24" s="8">
        <f>SUM(D22:D23)</f>
        <v/>
      </c>
      <c r="E24" s="8">
        <f>C24-D24</f>
        <v/>
      </c>
      <c r="F24" s="9">
        <f>IF(D24=0, 1, E24/ABS(D24))</f>
        <v/>
      </c>
    </row>
    <row r="25">
      <c r="A25" s="3" t="inlineStr">
        <is>
          <t>Operating Expenses</t>
        </is>
      </c>
      <c r="B25" s="3" t="inlineStr">
        <is>
          <t>V. Finance Costs</t>
        </is>
      </c>
      <c r="C25" s="3" t="n"/>
      <c r="D25" s="3" t="n"/>
      <c r="E25" s="3" t="n"/>
      <c r="F25" s="3" t="n"/>
    </row>
    <row r="26">
      <c r="A26" s="4" t="inlineStr"/>
      <c r="B26" s="4" t="inlineStr">
        <is>
          <t>Interest on Long-Term Debt</t>
        </is>
      </c>
      <c r="C26" s="5" t="n">
        <v>2250</v>
      </c>
      <c r="D26" s="5" t="n">
        <v>2100</v>
      </c>
      <c r="E26" s="5">
        <f>C26-D26</f>
        <v/>
      </c>
      <c r="F26" s="6">
        <f>IF(D26=0, 1, E26/ABS(D26))</f>
        <v/>
      </c>
    </row>
    <row r="27">
      <c r="A27" s="4" t="inlineStr"/>
      <c r="B27" s="4" t="inlineStr">
        <is>
          <t>Interest on Working Capital</t>
        </is>
      </c>
      <c r="C27" s="5" t="n">
        <v>710.4</v>
      </c>
      <c r="D27" s="5" t="n">
        <v>650.2</v>
      </c>
      <c r="E27" s="5">
        <f>C27-D27</f>
        <v/>
      </c>
      <c r="F27" s="6">
        <f>IF(D27=0, 1, E27/ABS(D27))</f>
        <v/>
      </c>
    </row>
    <row r="28">
      <c r="A28" s="4" t="inlineStr"/>
      <c r="B28" s="4" t="inlineStr">
        <is>
          <t>Other Borrowing Costs</t>
        </is>
      </c>
      <c r="C28" s="5" t="n">
        <v>114</v>
      </c>
      <c r="D28" s="5" t="n">
        <v>152.2</v>
      </c>
      <c r="E28" s="5">
        <f>C28-D28</f>
        <v/>
      </c>
      <c r="F28" s="6">
        <f>IF(D28=0, 1, E28/ABS(D28))</f>
        <v/>
      </c>
    </row>
    <row r="29">
      <c r="A29" s="7" t="inlineStr"/>
      <c r="B29" s="7" t="inlineStr">
        <is>
          <t>Finance Subtotal</t>
        </is>
      </c>
      <c r="C29" s="8">
        <f>SUM(C26:C28)</f>
        <v/>
      </c>
      <c r="D29" s="8">
        <f>SUM(D26:D28)</f>
        <v/>
      </c>
      <c r="E29" s="8">
        <f>C29-D29</f>
        <v/>
      </c>
      <c r="F29" s="9">
        <f>IF(D29=0, 1, E29/ABS(D29))</f>
        <v/>
      </c>
    </row>
    <row r="30">
      <c r="A30" s="3" t="inlineStr">
        <is>
          <t>Operating Expenses</t>
        </is>
      </c>
      <c r="B30" s="3" t="inlineStr">
        <is>
          <t>VI. Tax Expenses</t>
        </is>
      </c>
      <c r="C30" s="3" t="n"/>
      <c r="D30" s="3" t="n"/>
      <c r="E30" s="3" t="n"/>
      <c r="F30" s="3" t="n"/>
    </row>
    <row r="31">
      <c r="A31" s="4" t="inlineStr"/>
      <c r="B31" s="4" t="inlineStr">
        <is>
          <t>Current Tax</t>
        </is>
      </c>
      <c r="C31" s="5" t="n">
        <v>750</v>
      </c>
      <c r="D31" s="5" t="n">
        <v>520.5</v>
      </c>
      <c r="E31" s="5">
        <f>C31-D31</f>
        <v/>
      </c>
      <c r="F31" s="6">
        <f>IF(D31=0, 1, E31/ABS(D31))</f>
        <v/>
      </c>
    </row>
    <row r="32">
      <c r="A32" s="4" t="inlineStr"/>
      <c r="B32" s="4" t="inlineStr">
        <is>
          <t>Deferred Tax</t>
        </is>
      </c>
      <c r="C32" s="5" t="n">
        <v>151.3</v>
      </c>
      <c r="D32" s="5" t="n">
        <v>101.2</v>
      </c>
      <c r="E32" s="5">
        <f>C32-D32</f>
        <v/>
      </c>
      <c r="F32" s="6">
        <f>IF(D32=0, 1, E32/ABS(D32))</f>
        <v/>
      </c>
    </row>
    <row r="33">
      <c r="A33" s="7" t="inlineStr"/>
      <c r="B33" s="7" t="inlineStr">
        <is>
          <t>Tax Subtotal</t>
        </is>
      </c>
      <c r="C33" s="8">
        <f>SUM(C31:C32)</f>
        <v/>
      </c>
      <c r="D33" s="8">
        <f>SUM(D31:D32)</f>
        <v/>
      </c>
      <c r="E33" s="8">
        <f>C33-D33</f>
        <v/>
      </c>
      <c r="F33" s="9">
        <f>IF(D33=0, 1, E33/ABS(D33))</f>
        <v/>
      </c>
    </row>
    <row r="34">
      <c r="A34" s="7" t="inlineStr">
        <is>
          <t>Operating Expenses</t>
        </is>
      </c>
      <c r="B34" s="7" t="inlineStr">
        <is>
          <t>Total Operating Expenses</t>
        </is>
      </c>
      <c r="C34" s="8">
        <f>C8+C13+C20+C24+C29+C33</f>
        <v/>
      </c>
      <c r="D34" s="8">
        <f>D8+D13+D20+D24+D29+D33</f>
        <v/>
      </c>
      <c r="E34" s="8">
        <f>C34-D34</f>
        <v/>
      </c>
      <c r="F34" s="9">
        <f>IF(D34=0, 1, E34/ABS(D34))</f>
        <v/>
      </c>
    </row>
    <row r="36">
      <c r="A36" s="3" t="inlineStr">
        <is>
          <t>Capital Expenditures</t>
        </is>
      </c>
      <c r="B36" s="3" t="inlineStr">
        <is>
          <t>VII. Organic CAPEX (Asset Additions)</t>
        </is>
      </c>
      <c r="C36" s="3" t="n"/>
      <c r="D36" s="3" t="n"/>
      <c r="E36" s="3" t="n"/>
      <c r="F36" s="3" t="n"/>
    </row>
    <row r="37">
      <c r="A37" s="4" t="inlineStr"/>
      <c r="B37" s="4" t="inlineStr">
        <is>
          <t>Property, Plant &amp; Equipment (PP&amp;E)</t>
        </is>
      </c>
      <c r="C37" s="5" t="n">
        <v>3398.8</v>
      </c>
      <c r="D37" s="5" t="n">
        <v>2050.2</v>
      </c>
      <c r="E37" s="5">
        <f>C37-D37</f>
        <v/>
      </c>
      <c r="F37" s="6">
        <f>IF(D37=0, 1, E37/ABS(D37))</f>
        <v/>
      </c>
    </row>
    <row r="38">
      <c r="A38" s="4" t="inlineStr"/>
      <c r="B38" s="4" t="inlineStr">
        <is>
          <t>Capital Work-in-Progress (CWIP)</t>
        </is>
      </c>
      <c r="C38" s="5" t="n">
        <v>842.1</v>
      </c>
      <c r="D38" s="5" t="n">
        <v>450</v>
      </c>
      <c r="E38" s="5">
        <f>C38-D38</f>
        <v/>
      </c>
      <c r="F38" s="6">
        <f>IF(D38=0, 1, E38/ABS(D38))</f>
        <v/>
      </c>
    </row>
    <row r="39">
      <c r="A39" s="4" t="inlineStr"/>
      <c r="B39" s="4" t="inlineStr">
        <is>
          <t>Right of Use Assets</t>
        </is>
      </c>
      <c r="C39" s="5" t="n">
        <v>978.1</v>
      </c>
      <c r="D39" s="5" t="n">
        <v>310.5</v>
      </c>
      <c r="E39" s="5">
        <f>C39-D39</f>
        <v/>
      </c>
      <c r="F39" s="6">
        <f>IF(D39=0, 1, E39/ABS(D39))</f>
        <v/>
      </c>
    </row>
    <row r="40">
      <c r="A40" s="7" t="inlineStr"/>
      <c r="B40" s="7" t="inlineStr">
        <is>
          <t>Organic CAPEX Subtotal</t>
        </is>
      </c>
      <c r="C40" s="8">
        <f>SUM(C37:C39)</f>
        <v/>
      </c>
      <c r="D40" s="8">
        <f>SUM(D37:D39)</f>
        <v/>
      </c>
      <c r="E40" s="8">
        <f>C40-D40</f>
        <v/>
      </c>
      <c r="F40" s="9">
        <f>IF(D40=0, 1, E40/ABS(D40))</f>
        <v/>
      </c>
    </row>
    <row r="41">
      <c r="A41" s="3" t="inlineStr">
        <is>
          <t>Capital Expenditures</t>
        </is>
      </c>
      <c r="B41" s="3" t="inlineStr">
        <is>
          <t>VIII. Inorganic CAPEX (Acquisitions)</t>
        </is>
      </c>
      <c r="C41" s="3" t="n"/>
      <c r="D41" s="3" t="n"/>
      <c r="E41" s="3" t="n"/>
      <c r="F41" s="3" t="n"/>
    </row>
    <row r="42">
      <c r="A42" s="4" t="inlineStr"/>
      <c r="B42" s="4" t="inlineStr">
        <is>
          <t>H-One India Pvt Ltd (Stamping)</t>
        </is>
      </c>
      <c r="C42" s="5" t="n">
        <v>4500</v>
      </c>
      <c r="D42" s="5" t="n">
        <v>0</v>
      </c>
      <c r="E42" s="5">
        <f>C42-D42</f>
        <v/>
      </c>
      <c r="F42" s="6">
        <f>IF(D42=0, 1, E42/ABS(D42))</f>
        <v/>
      </c>
    </row>
    <row r="43">
      <c r="A43" s="4" t="inlineStr"/>
      <c r="B43" s="4" t="inlineStr">
        <is>
          <t>Mag Filters (Filtration Systems)</t>
        </is>
      </c>
      <c r="C43" s="5" t="n">
        <v>1200</v>
      </c>
      <c r="D43" s="5" t="n">
        <v>0</v>
      </c>
      <c r="E43" s="5">
        <f>C43-D43</f>
        <v/>
      </c>
      <c r="F43" s="6">
        <f>IF(D43=0, 1, E43/ABS(D43))</f>
        <v/>
      </c>
    </row>
    <row r="44">
      <c r="A44" s="4" t="inlineStr"/>
      <c r="B44" s="4" t="inlineStr">
        <is>
          <t>SDM Europe (Aero-structures/Robotics)</t>
        </is>
      </c>
      <c r="C44" s="5" t="n">
        <v>2100</v>
      </c>
      <c r="D44" s="5" t="n">
        <v>0</v>
      </c>
      <c r="E44" s="5">
        <f>C44-D44</f>
        <v/>
      </c>
      <c r="F44" s="6">
        <f>IF(D44=0, 1, E44/ABS(D44))</f>
        <v/>
      </c>
    </row>
    <row r="45">
      <c r="A45" s="7" t="inlineStr"/>
      <c r="B45" s="7" t="inlineStr">
        <is>
          <t>Inorganic CAPEX Subtotal</t>
        </is>
      </c>
      <c r="C45" s="8">
        <f>SUM(C42:C44)</f>
        <v/>
      </c>
      <c r="D45" s="8">
        <f>SUM(D42:D44)</f>
        <v/>
      </c>
      <c r="E45" s="8">
        <f>C45-D45</f>
        <v/>
      </c>
      <c r="F45" s="9">
        <f>IF(D45=0, 1, E45/ABS(D45))</f>
        <v/>
      </c>
    </row>
    <row r="46">
      <c r="A46" s="7" t="inlineStr">
        <is>
          <t>Capital Expenditures</t>
        </is>
      </c>
      <c r="B46" s="7" t="inlineStr">
        <is>
          <t>Total Capital Deployment</t>
        </is>
      </c>
      <c r="C46" s="8">
        <f>C40+C45</f>
        <v/>
      </c>
      <c r="D46" s="8">
        <f>D40+D45</f>
        <v/>
      </c>
      <c r="E46" s="8">
        <f>C46-D46</f>
        <v/>
      </c>
      <c r="F46" s="9">
        <f>IF(D46=0, 1, E46/ABS(D46))</f>
        <v/>
      </c>
    </row>
    <row r="48">
      <c r="A48" s="10" t="inlineStr">
        <is>
          <t>Grand Total</t>
        </is>
      </c>
      <c r="B48" s="10" t="inlineStr">
        <is>
          <t>Total Outflow (OPEX + CAPEX)</t>
        </is>
      </c>
      <c r="C48" s="11">
        <f>C34+C46</f>
        <v/>
      </c>
      <c r="D48" s="11">
        <f>D34+D46</f>
        <v/>
      </c>
      <c r="E48" s="11">
        <f>C48-D48</f>
        <v/>
      </c>
      <c r="F48" s="12">
        <f>IF(D48=0, 1, E48/ABS(D48))</f>
        <v/>
      </c>
    </row>
  </sheetData>
  <mergeCells count="9">
    <mergeCell ref="B21:F21"/>
    <mergeCell ref="B30:F30"/>
    <mergeCell ref="B25:F25"/>
    <mergeCell ref="A1:F2"/>
    <mergeCell ref="B5:F5"/>
    <mergeCell ref="B36:F36"/>
    <mergeCell ref="B14:F14"/>
    <mergeCell ref="B41:F41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2026-06-03T18:12:46Z</dcterms:created>
  <dcterms:modified xmlns:dcterms="http://purl.org/dc/terms/" xmlns:xsi="http://www.w3.org/2001/XMLSchema-instance" xsi:type="dcterms:W3CDTF">2026-06-03T18:12:46Z</dcterms:modified>
</cp:coreProperties>
</file>